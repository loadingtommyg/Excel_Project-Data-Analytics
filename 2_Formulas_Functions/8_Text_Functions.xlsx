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tommyg/Desktop/Excel_Data_Analytics_Course-main/2_Formulas_Functions/"/>
    </mc:Choice>
  </mc:AlternateContent>
  <xr:revisionPtr revIDLastSave="0" documentId="13_ncr:1_{86254785-FCA7-0C41-9C1E-60040166993C}" xr6:coauthVersionLast="47" xr6:coauthVersionMax="47" xr10:uidLastSave="{00000000-0000-0000-0000-000000000000}"/>
  <bookViews>
    <workbookView xWindow="100" yWindow="660" windowWidth="21620" windowHeight="12020"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Skills!$B$9:$B$24</definedName>
    <definedName name="_xlchart.v1.0" hidden="1">Skills!$L$9:$L$24</definedName>
    <definedName name="_xlchart.v1.1" hidden="1">Skills!$M$9:$M$24</definedName>
    <definedName name="_xlchart.v2.2" hidden="1">Skills!$L$9:$L$24</definedName>
    <definedName name="_xlchart.v2.3" hidden="1">Skills!$M$9:$M$24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2" l="1"/>
  <c r="A6" i="12" s="1" a="1"/>
  <c r="A6" i="12" s="1"/>
  <c r="A9" i="12" s="1" a="1"/>
  <c r="L3" i="11"/>
  <c r="L4" i="11"/>
  <c r="L5" i="11"/>
  <c r="L6" i="11"/>
  <c r="L7" i="11"/>
  <c r="L8" i="11"/>
  <c r="L9" i="11"/>
  <c r="L10" i="11"/>
  <c r="L11" i="11"/>
  <c r="L12" i="11"/>
  <c r="L13" i="11"/>
  <c r="L14" i="11"/>
  <c r="L15" i="11"/>
  <c r="L16" i="11"/>
  <c r="L17" i="11"/>
  <c r="L18" i="11"/>
  <c r="L19" i="11"/>
  <c r="L20" i="11"/>
  <c r="L21" i="11"/>
  <c r="K3" i="11"/>
  <c r="K4" i="11"/>
  <c r="K5" i="11"/>
  <c r="K6" i="11"/>
  <c r="K7" i="11"/>
  <c r="K8" i="11"/>
  <c r="K9" i="11"/>
  <c r="K10" i="11"/>
  <c r="K11" i="11"/>
  <c r="K12" i="11"/>
  <c r="K13" i="11"/>
  <c r="K14" i="11"/>
  <c r="K15" i="11"/>
  <c r="K16" i="11"/>
  <c r="K17" i="11"/>
  <c r="K18" i="11"/>
  <c r="K19" i="11"/>
  <c r="K20" i="11"/>
  <c r="K21" i="11"/>
  <c r="J3" i="11"/>
  <c r="J4" i="11"/>
  <c r="J5" i="11"/>
  <c r="J6" i="11"/>
  <c r="J7" i="11"/>
  <c r="J8" i="11"/>
  <c r="J9" i="11"/>
  <c r="J10" i="11"/>
  <c r="J11" i="11"/>
  <c r="J12" i="11"/>
  <c r="J13" i="11"/>
  <c r="J14" i="11"/>
  <c r="J15" i="11"/>
  <c r="J16" i="11"/>
  <c r="J17" i="11"/>
  <c r="J18" i="11"/>
  <c r="J19" i="11"/>
  <c r="J20" i="11"/>
  <c r="J21" i="11"/>
  <c r="J2" i="11"/>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N2" i="10"/>
  <c r="M2" i="10"/>
  <c r="J2" i="9"/>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21" i="12" l="1" a="1"/>
  <c r="B21" i="12" s="1"/>
  <c r="B19" i="12" a="1"/>
  <c r="B19" i="12" s="1"/>
  <c r="B16" i="12" a="1"/>
  <c r="B16" i="12" s="1"/>
  <c r="B14" i="12" a="1"/>
  <c r="B14" i="12" s="1"/>
  <c r="B10" i="12" a="1"/>
  <c r="B10" i="12" s="1"/>
  <c r="B23" i="12" a="1"/>
  <c r="B23" i="12" s="1"/>
  <c r="B22" i="12" a="1"/>
  <c r="B22" i="12" s="1"/>
  <c r="B20" i="12" a="1"/>
  <c r="B20" i="12" s="1"/>
  <c r="B18" i="12" a="1"/>
  <c r="B18" i="12" s="1"/>
  <c r="B17" i="12" a="1"/>
  <c r="B17" i="12" s="1"/>
  <c r="B15" i="12" a="1"/>
  <c r="B15" i="12" s="1"/>
  <c r="B13" i="12" a="1"/>
  <c r="B13" i="12" s="1"/>
  <c r="B12" i="12" a="1"/>
  <c r="B12" i="12" s="1"/>
  <c r="B11" i="12" a="1"/>
  <c r="B11" i="12" s="1"/>
  <c r="A9" i="12"/>
  <c r="B24" i="12" a="1"/>
  <c r="B24" i="12" s="1"/>
  <c r="B25" i="12"/>
  <c r="K2" i="11"/>
  <c r="L2" i="11" s="1"/>
  <c r="R9" i="8"/>
  <c r="S9" i="8" s="1"/>
  <c r="R10" i="8"/>
  <c r="S10" i="8"/>
  <c r="R11" i="8"/>
  <c r="S11" i="8"/>
  <c r="R12" i="8"/>
  <c r="S12" i="8"/>
  <c r="R13" i="8"/>
  <c r="S13" i="8"/>
  <c r="R14" i="8"/>
  <c r="S14" i="8"/>
  <c r="R15" i="8"/>
  <c r="S15" i="8"/>
  <c r="R2" i="8"/>
  <c r="B9" i="12" l="1" a="1"/>
  <c r="B9" i="12" s="1"/>
  <c r="L9" i="12" s="1" a="1"/>
  <c r="L9" i="1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<sst xmlns="http://schemas.openxmlformats.org/spreadsheetml/2006/main" count="609" uniqueCount="95">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</sst>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a:t>
            </a:r>
            <a:r>
              <a:rPr lang="en-US" baseline="0"/>
              <a:t>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RO"/>
        </a:p>
      </c:txPr>
    </c:title>
    <c:autoTitleDeleted val="0"/>
    <c:plotArea>
      <c:layout/>
      <c:barChart>
        <c:barDir val="bar"/>
        <c:grouping val="clustered"/>
        <c:varyColors val="0"/>
        <c:ser>
          <c:idx val="0"/>
          <c:order val="0"/>
          <c:spPr>
            <a:solidFill>
              <a:schemeClr val="accent1"/>
            </a:solidFill>
            <a:ln>
              <a:noFill/>
            </a:ln>
            <a:effectLst/>
          </c:spPr>
          <c:invertIfNegative val="0"/>
          <c:cat>
            <c:strRef>
              <c:f>Skills!$L$9:$L$24</c:f>
              <c:strCache>
                <c:ptCount val="16"/>
                <c:pt idx="0">
                  <c:v>Tableau</c:v>
                </c:pt>
                <c:pt idx="1">
                  <c:v>Spark</c:v>
                </c:pt>
                <c:pt idx="2">
                  <c:v>Python</c:v>
                </c:pt>
                <c:pt idx="3">
                  <c:v>Excel</c:v>
                </c:pt>
                <c:pt idx="4">
                  <c:v>Kafka</c:v>
                </c:pt>
                <c:pt idx="5">
                  <c:v>GCP</c:v>
                </c:pt>
                <c:pt idx="6">
                  <c:v>Azure</c:v>
                </c:pt>
                <c:pt idx="7">
                  <c:v>SQL</c:v>
                </c:pt>
                <c:pt idx="8">
                  <c:v>Power BI</c:v>
                </c:pt>
                <c:pt idx="9">
                  <c:v>Snowflake</c:v>
                </c:pt>
                <c:pt idx="10">
                  <c:v>Scala</c:v>
                </c:pt>
                <c:pt idx="11">
                  <c:v>Airflow</c:v>
                </c:pt>
                <c:pt idx="12">
                  <c:v>R</c:v>
                </c:pt>
                <c:pt idx="13">
                  <c:v>Hadoop</c:v>
                </c:pt>
                <c:pt idx="14">
                  <c:v>Java</c:v>
                </c:pt>
                <c:pt idx="15">
                  <c:v>DataBricks</c:v>
                </c:pt>
              </c:strCache>
            </c:strRef>
          </c:cat>
          <c:val>
            <c:numRef>
              <c:f>Skills!$M$9:$M$24</c:f>
              <c:numCache>
                <c:formatCode>General</c:formatCode>
                <c:ptCount val="16"/>
                <c:pt idx="0">
                  <c:v>1</c:v>
                </c:pt>
                <c:pt idx="1">
                  <c:v>2</c:v>
                </c:pt>
                <c:pt idx="2">
                  <c:v>2</c:v>
                </c:pt>
                <c:pt idx="3">
                  <c:v>2</c:v>
                </c:pt>
                <c:pt idx="4">
                  <c:v>3</c:v>
                </c:pt>
                <c:pt idx="5">
                  <c:v>4</c:v>
                </c:pt>
                <c:pt idx="6">
                  <c:v>4</c:v>
                </c:pt>
                <c:pt idx="7">
                  <c:v>4</c:v>
                </c:pt>
                <c:pt idx="8">
                  <c:v>5</c:v>
                </c:pt>
                <c:pt idx="9">
                  <c:v>5</c:v>
                </c:pt>
                <c:pt idx="10">
                  <c:v>5</c:v>
                </c:pt>
                <c:pt idx="11">
                  <c:v>6</c:v>
                </c:pt>
                <c:pt idx="12">
                  <c:v>6</c:v>
                </c:pt>
                <c:pt idx="13">
                  <c:v>7</c:v>
                </c:pt>
                <c:pt idx="14">
                  <c:v>7</c:v>
                </c:pt>
                <c:pt idx="15">
                  <c:v>12</c:v>
                </c:pt>
              </c:numCache>
            </c:numRef>
          </c:val>
          <c:extLst>
            <c:ext xmlns:c16="http://schemas.microsoft.com/office/drawing/2014/chart" uri="{C3380CC4-5D6E-409C-BE32-E72D297353CC}">
              <c16:uniqueId val="{00000000-B359-4547-922D-7FFF86197238}"/>
            </c:ext>
          </c:extLst>
        </c:ser>
        <c:dLbls>
          <c:showLegendKey val="0"/>
          <c:showVal val="0"/>
          <c:showCatName val="0"/>
          <c:showSerName val="0"/>
          <c:showPercent val="0"/>
          <c:showBubbleSize val="0"/>
        </c:dLbls>
        <c:gapWidth val="182"/>
        <c:axId val="1148612863"/>
        <c:axId val="1148607935"/>
      </c:barChart>
      <c:catAx>
        <c:axId val="114861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148607935"/>
        <c:crosses val="autoZero"/>
        <c:auto val="1"/>
        <c:lblAlgn val="ctr"/>
        <c:lblOffset val="100"/>
        <c:noMultiLvlLbl val="0"/>
      </c:catAx>
      <c:valAx>
        <c:axId val="114860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148612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285751</xdr:colOff>
      <xdr:row>8</xdr:row>
      <xdr:rowOff>21166</xdr:rowOff>
    </xdr:from>
    <xdr:to>
      <xdr:col>20</xdr:col>
      <xdr:colOff>116417</xdr:colOff>
      <xdr:row>28</xdr:row>
      <xdr:rowOff>74083</xdr:rowOff>
    </xdr:to>
    <xdr:graphicFrame macro="">
      <xdr:nvGraphicFramePr>
        <xdr:cNvPr id="2" name="Chart 1">
          <a:extLst>
            <a:ext uri="{FF2B5EF4-FFF2-40B4-BE49-F238E27FC236}">
              <a16:creationId xmlns:a16="http://schemas.microsoft.com/office/drawing/2014/main" id="{5B3AFBED-3ED1-234F-0971-CD52B6A0D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T2" sqref="T2"/>
    </sheetView>
  </sheetViews>
  <sheetFormatPr baseColWidth="10" defaultColWidth="8.83203125" defaultRowHeight="15" x14ac:dyDescent="0.2"/>
  <cols>
    <col min="1" max="1" width="17.6640625" customWidth="1"/>
    <col min="2" max="2" width="14.33203125" customWidth="1"/>
    <col min="3" max="3" width="27.33203125" hidden="1" customWidth="1"/>
    <col min="4" max="4" width="17.6640625" style="9" hidden="1" customWidth="1"/>
    <col min="5" max="5" width="26.33203125" hidden="1" customWidth="1"/>
    <col min="6" max="6" width="11" hidden="1" customWidth="1"/>
    <col min="7" max="7" width="22" hidden="1" customWidth="1"/>
    <col min="8" max="8" width="40" hidden="1" customWidth="1"/>
    <col min="9" max="9" width="8.83203125" hidden="1" customWidth="1"/>
    <col min="10" max="10" width="34.6640625" hidden="1" customWidth="1"/>
    <col min="11" max="11" width="8.83203125" customWidth="1"/>
    <col min="12" max="12" width="13.33203125" customWidth="1"/>
    <col min="13" max="13" width="15.5" customWidth="1"/>
    <col min="14" max="14" width="8.83203125" customWidth="1"/>
    <col min="15" max="15" width="16.33203125" customWidth="1"/>
    <col min="17" max="19" width="0" hidden="1" customWidth="1"/>
  </cols>
  <sheetData>
    <row r="1" spans="1:22" x14ac:dyDescent="0.2">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row>
    <row r="3" spans="1:22" x14ac:dyDescent="0.2">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row>
    <row r="4" spans="1:22" x14ac:dyDescent="0.2">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row>
    <row r="5" spans="1:22" x14ac:dyDescent="0.2">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row>
    <row r="6" spans="1:22" x14ac:dyDescent="0.2">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row>
    <row r="7" spans="1:22" x14ac:dyDescent="0.2">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row>
    <row r="8" spans="1:22" x14ac:dyDescent="0.2">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row>
    <row r="9" spans="1:22" x14ac:dyDescent="0.2">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row>
    <row r="10" spans="1:22" x14ac:dyDescent="0.2">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row>
    <row r="11" spans="1:22" x14ac:dyDescent="0.2">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row>
    <row r="12" spans="1:22" x14ac:dyDescent="0.2">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row>
    <row r="13" spans="1:22" x14ac:dyDescent="0.2">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row>
    <row r="14" spans="1:22" x14ac:dyDescent="0.2">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row>
    <row r="15" spans="1:22" x14ac:dyDescent="0.2">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row>
    <row r="16" spans="1:22" x14ac:dyDescent="0.2">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row>
    <row r="17" spans="1:19" x14ac:dyDescent="0.2">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row>
    <row r="18" spans="1:19" x14ac:dyDescent="0.2">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row>
    <row r="19" spans="1:19" x14ac:dyDescent="0.2">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row>
    <row r="20" spans="1:19" x14ac:dyDescent="0.2">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row>
    <row r="21" spans="1:19" ht="16" thickBot="1" x14ac:dyDescent="0.2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baseColWidth="10" defaultColWidth="8.83203125" defaultRowHeight="15" x14ac:dyDescent="0.2"/>
  <cols>
    <col min="1" max="1" width="14.33203125" bestFit="1" customWidth="1"/>
    <col min="2" max="2" width="18.6640625" customWidth="1"/>
    <col min="3" max="3" width="27.33203125" style="9" bestFit="1" customWidth="1"/>
    <col min="4" max="4" width="16.6640625" customWidth="1"/>
    <col min="5" max="5" width="11" bestFit="1" customWidth="1"/>
    <col min="6" max="6" width="22" bestFit="1" customWidth="1"/>
    <col min="7" max="7" width="40" bestFit="1" customWidth="1"/>
    <col min="8" max="8" width="40" customWidth="1"/>
    <col min="9" max="9" width="9" customWidth="1"/>
    <col min="10" max="10" width="29.1640625" bestFit="1" customWidth="1"/>
  </cols>
  <sheetData>
    <row r="1" spans="1:10" x14ac:dyDescent="0.2">
      <c r="A1" s="2" t="s">
        <v>69</v>
      </c>
      <c r="B1" s="3" t="s">
        <v>2</v>
      </c>
      <c r="C1" s="3" t="s">
        <v>3</v>
      </c>
      <c r="D1" s="10" t="s">
        <v>92</v>
      </c>
      <c r="E1" s="3" t="s">
        <v>0</v>
      </c>
      <c r="F1" s="3" t="s">
        <v>21</v>
      </c>
      <c r="G1" s="3" t="s">
        <v>22</v>
      </c>
      <c r="H1" s="4" t="s">
        <v>4</v>
      </c>
      <c r="J1" s="14" t="s">
        <v>62</v>
      </c>
    </row>
    <row r="2" spans="1:10" x14ac:dyDescent="0.2">
      <c r="A2" s="5" t="s">
        <v>72</v>
      </c>
      <c r="B2" s="1" t="s">
        <v>42</v>
      </c>
      <c r="C2" s="1" t="s">
        <v>1</v>
      </c>
      <c r="D2" s="11">
        <v>44971.640451388892</v>
      </c>
      <c r="E2" s="1" t="s">
        <v>43</v>
      </c>
      <c r="F2" s="1" t="s">
        <v>23</v>
      </c>
      <c r="G2" s="1" t="s">
        <v>24</v>
      </c>
      <c r="H2" s="6" t="s">
        <v>11</v>
      </c>
      <c r="J2" t="str">
        <f>_xlfn.TEXTJOIN(" ",TRUE,F2,G2)</f>
        <v>457 Oak St San Jose, CA, 95101</v>
      </c>
    </row>
    <row r="3" spans="1:10" x14ac:dyDescent="0.2">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
      <c r="A4" s="5" t="s">
        <v>73</v>
      </c>
      <c r="B4" s="1" t="s">
        <v>58</v>
      </c>
      <c r="C4" s="1" t="s">
        <v>12</v>
      </c>
      <c r="D4" s="11">
        <v>45128.729710648149</v>
      </c>
      <c r="E4" s="1" t="s">
        <v>59</v>
      </c>
      <c r="F4" s="1" t="s">
        <v>27</v>
      </c>
      <c r="G4" s="1" t="s">
        <v>26</v>
      </c>
      <c r="H4" s="6" t="s">
        <v>6</v>
      </c>
      <c r="J4" t="str">
        <f t="shared" si="0"/>
        <v>790 Pine St Chicago, IL, 60601</v>
      </c>
    </row>
    <row r="5" spans="1:10" x14ac:dyDescent="0.2">
      <c r="A5" s="5" t="s">
        <v>74</v>
      </c>
      <c r="B5" s="1" t="s">
        <v>42</v>
      </c>
      <c r="C5" s="1" t="s">
        <v>5</v>
      </c>
      <c r="D5" s="11">
        <v>45173.302187499998</v>
      </c>
      <c r="E5" s="1" t="s">
        <v>43</v>
      </c>
      <c r="F5" s="1" t="s">
        <v>23</v>
      </c>
      <c r="G5" s="1" t="s">
        <v>24</v>
      </c>
      <c r="H5" s="6" t="s">
        <v>11</v>
      </c>
      <c r="J5" t="str">
        <f t="shared" si="0"/>
        <v>457 Oak St San Jose, CA, 95101</v>
      </c>
    </row>
    <row r="6" spans="1:10" x14ac:dyDescent="0.2">
      <c r="A6" s="5" t="s">
        <v>75</v>
      </c>
      <c r="B6" s="1" t="s">
        <v>40</v>
      </c>
      <c r="C6" s="1" t="s">
        <v>7</v>
      </c>
      <c r="D6" s="11">
        <v>45248.70857638889</v>
      </c>
      <c r="E6" s="1" t="s">
        <v>41</v>
      </c>
      <c r="F6" s="1" t="s">
        <v>29</v>
      </c>
      <c r="G6" s="1" t="s">
        <v>30</v>
      </c>
      <c r="H6" s="6" t="s">
        <v>10</v>
      </c>
      <c r="J6" t="str">
        <f t="shared" si="0"/>
        <v>459 Oak St Philadelphia, PA, 19101</v>
      </c>
    </row>
    <row r="7" spans="1:10" x14ac:dyDescent="0.2">
      <c r="A7" s="5" t="s">
        <v>76</v>
      </c>
      <c r="B7" s="1" t="s">
        <v>46</v>
      </c>
      <c r="C7" s="1" t="s">
        <v>9</v>
      </c>
      <c r="D7" s="11">
        <v>45302.531921296293</v>
      </c>
      <c r="E7" s="1" t="s">
        <v>47</v>
      </c>
      <c r="F7" s="1" t="s">
        <v>31</v>
      </c>
      <c r="G7" s="1" t="s">
        <v>30</v>
      </c>
      <c r="H7" s="6" t="s">
        <v>15</v>
      </c>
      <c r="J7" t="str">
        <f t="shared" si="0"/>
        <v>204 Birch St Philadelphia, PA, 19101</v>
      </c>
    </row>
    <row r="8" spans="1:10" x14ac:dyDescent="0.2">
      <c r="A8" s="5" t="s">
        <v>77</v>
      </c>
      <c r="B8" s="1" t="s">
        <v>58</v>
      </c>
      <c r="C8" s="1" t="s">
        <v>5</v>
      </c>
      <c r="D8" s="11">
        <v>45354.687881944446</v>
      </c>
      <c r="E8" s="1" t="s">
        <v>59</v>
      </c>
      <c r="F8" s="1" t="s">
        <v>27</v>
      </c>
      <c r="G8" s="1" t="s">
        <v>26</v>
      </c>
      <c r="H8" s="6" t="s">
        <v>6</v>
      </c>
      <c r="J8" t="str">
        <f t="shared" si="0"/>
        <v>790 Pine St Chicago, IL, 60601</v>
      </c>
    </row>
    <row r="9" spans="1:10" x14ac:dyDescent="0.2">
      <c r="A9" s="5" t="s">
        <v>78</v>
      </c>
      <c r="B9" s="1" t="s">
        <v>46</v>
      </c>
      <c r="C9" s="1" t="s">
        <v>1</v>
      </c>
      <c r="D9" s="11">
        <v>45408.340810185182</v>
      </c>
      <c r="E9" s="1" t="s">
        <v>47</v>
      </c>
      <c r="F9" s="1" t="s">
        <v>31</v>
      </c>
      <c r="G9" s="1" t="s">
        <v>30</v>
      </c>
      <c r="H9" s="6" t="s">
        <v>15</v>
      </c>
      <c r="J9" t="str">
        <f t="shared" si="0"/>
        <v>204 Birch St Philadelphia, PA, 19101</v>
      </c>
    </row>
    <row r="10" spans="1:10" x14ac:dyDescent="0.2">
      <c r="A10" s="5" t="s">
        <v>79</v>
      </c>
      <c r="B10" s="1" t="s">
        <v>50</v>
      </c>
      <c r="C10" s="1" t="s">
        <v>7</v>
      </c>
      <c r="D10" s="11">
        <v>45458.743333333332</v>
      </c>
      <c r="E10" s="1" t="s">
        <v>51</v>
      </c>
      <c r="F10" s="1" t="s">
        <v>33</v>
      </c>
      <c r="G10" s="1" t="s">
        <v>26</v>
      </c>
      <c r="H10" s="6" t="s">
        <v>18</v>
      </c>
      <c r="J10" t="str">
        <f t="shared" si="0"/>
        <v>123 Elm St Chicago, IL, 60601</v>
      </c>
    </row>
    <row r="11" spans="1:10" x14ac:dyDescent="0.2">
      <c r="A11" s="5" t="s">
        <v>80</v>
      </c>
      <c r="B11" s="1" t="s">
        <v>54</v>
      </c>
      <c r="C11" s="1" t="s">
        <v>12</v>
      </c>
      <c r="D11" s="11">
        <v>45480.608055555553</v>
      </c>
      <c r="E11" s="1" t="s">
        <v>55</v>
      </c>
      <c r="F11" s="1" t="s">
        <v>33</v>
      </c>
      <c r="G11" s="1" t="s">
        <v>32</v>
      </c>
      <c r="H11" s="6" t="s">
        <v>13</v>
      </c>
      <c r="J11" t="str">
        <f t="shared" si="0"/>
        <v>123 Elm St Los Angeles, CA, 90001</v>
      </c>
    </row>
    <row r="12" spans="1:10" x14ac:dyDescent="0.2">
      <c r="A12" s="5" t="s">
        <v>81</v>
      </c>
      <c r="B12" s="1" t="s">
        <v>44</v>
      </c>
      <c r="C12" s="1" t="s">
        <v>7</v>
      </c>
      <c r="D12" s="11">
        <v>45455.284930555557</v>
      </c>
      <c r="E12" s="1" t="s">
        <v>45</v>
      </c>
      <c r="F12" s="1" t="s">
        <v>33</v>
      </c>
      <c r="G12" s="1" t="s">
        <v>34</v>
      </c>
      <c r="H12" s="6" t="s">
        <v>17</v>
      </c>
      <c r="J12" t="str">
        <f t="shared" si="0"/>
        <v>123 Elm St San Diego, CA, 92101</v>
      </c>
    </row>
    <row r="13" spans="1:10" x14ac:dyDescent="0.2">
      <c r="A13" s="5" t="s">
        <v>82</v>
      </c>
      <c r="B13" s="1" t="s">
        <v>56</v>
      </c>
      <c r="C13" s="1" t="s">
        <v>9</v>
      </c>
      <c r="D13" s="11">
        <v>44951.552141203705</v>
      </c>
      <c r="E13" s="1" t="s">
        <v>57</v>
      </c>
      <c r="F13" s="1" t="s">
        <v>35</v>
      </c>
      <c r="G13" s="1" t="s">
        <v>26</v>
      </c>
      <c r="H13" s="6" t="s">
        <v>16</v>
      </c>
      <c r="J13" t="str">
        <f t="shared" si="0"/>
        <v>202 Birch St Chicago, IL, 60601</v>
      </c>
    </row>
    <row r="14" spans="1:10" x14ac:dyDescent="0.2">
      <c r="A14" s="5" t="s">
        <v>83</v>
      </c>
      <c r="B14" s="1" t="s">
        <v>46</v>
      </c>
      <c r="C14" s="1" t="s">
        <v>12</v>
      </c>
      <c r="D14" s="11">
        <v>45002.490034722221</v>
      </c>
      <c r="E14" s="1" t="s">
        <v>47</v>
      </c>
      <c r="F14" s="1" t="s">
        <v>31</v>
      </c>
      <c r="G14" s="1" t="s">
        <v>30</v>
      </c>
      <c r="H14" s="6" t="s">
        <v>15</v>
      </c>
      <c r="J14" t="str">
        <f t="shared" si="0"/>
        <v>204 Birch St Philadelphia, PA, 19101</v>
      </c>
    </row>
    <row r="15" spans="1:10" x14ac:dyDescent="0.2">
      <c r="A15" s="5" t="s">
        <v>84</v>
      </c>
      <c r="B15" s="1" t="s">
        <v>52</v>
      </c>
      <c r="C15" s="1" t="s">
        <v>9</v>
      </c>
      <c r="D15" s="11">
        <v>45078.417256944442</v>
      </c>
      <c r="E15" s="1" t="s">
        <v>53</v>
      </c>
      <c r="F15" s="1" t="s">
        <v>33</v>
      </c>
      <c r="G15" s="1" t="s">
        <v>26</v>
      </c>
      <c r="H15" s="6" t="s">
        <v>19</v>
      </c>
      <c r="J15" t="str">
        <f t="shared" si="0"/>
        <v>123 Elm St Chicago, IL, 60601</v>
      </c>
    </row>
    <row r="16" spans="1:10" x14ac:dyDescent="0.2">
      <c r="A16" s="5" t="s">
        <v>85</v>
      </c>
      <c r="B16" s="1" t="s">
        <v>60</v>
      </c>
      <c r="C16" s="1" t="s">
        <v>9</v>
      </c>
      <c r="D16" s="11">
        <v>45168.729328703703</v>
      </c>
      <c r="E16" s="1" t="s">
        <v>61</v>
      </c>
      <c r="F16" s="1" t="s">
        <v>28</v>
      </c>
      <c r="G16" s="1" t="s">
        <v>26</v>
      </c>
      <c r="H16" s="6" t="s">
        <v>20</v>
      </c>
      <c r="J16" t="str">
        <f t="shared" si="0"/>
        <v>456 Oak St Chicago, IL, 60601</v>
      </c>
    </row>
    <row r="17" spans="1:10" x14ac:dyDescent="0.2">
      <c r="A17" s="5" t="s">
        <v>86</v>
      </c>
      <c r="B17" s="1" t="s">
        <v>38</v>
      </c>
      <c r="C17" s="1" t="s">
        <v>7</v>
      </c>
      <c r="D17" s="11">
        <v>45218.319780092592</v>
      </c>
      <c r="E17" s="1" t="s">
        <v>39</v>
      </c>
      <c r="F17" s="1" t="s">
        <v>25</v>
      </c>
      <c r="G17" s="1" t="s">
        <v>37</v>
      </c>
      <c r="H17" s="6" t="s">
        <v>14</v>
      </c>
      <c r="J17" t="str">
        <f t="shared" si="0"/>
        <v>203 Birch St Chicago, IL, 60602</v>
      </c>
    </row>
    <row r="18" spans="1:10" x14ac:dyDescent="0.2">
      <c r="A18" s="5" t="s">
        <v>87</v>
      </c>
      <c r="B18" s="1" t="s">
        <v>40</v>
      </c>
      <c r="C18" s="1" t="s">
        <v>12</v>
      </c>
      <c r="D18" s="11">
        <v>45350.719236111108</v>
      </c>
      <c r="E18" s="1" t="s">
        <v>41</v>
      </c>
      <c r="F18" s="1" t="s">
        <v>29</v>
      </c>
      <c r="G18" s="1" t="s">
        <v>30</v>
      </c>
      <c r="H18" s="6" t="s">
        <v>10</v>
      </c>
      <c r="J18" t="str">
        <f t="shared" si="0"/>
        <v>459 Oak St Philadelphia, PA, 19101</v>
      </c>
    </row>
    <row r="19" spans="1:10" x14ac:dyDescent="0.2">
      <c r="A19" s="5" t="s">
        <v>88</v>
      </c>
      <c r="B19" s="1" t="s">
        <v>48</v>
      </c>
      <c r="C19" s="1" t="s">
        <v>7</v>
      </c>
      <c r="D19" s="11">
        <v>45418.726354166669</v>
      </c>
      <c r="E19" s="1" t="s">
        <v>49</v>
      </c>
      <c r="F19" s="1" t="s">
        <v>28</v>
      </c>
      <c r="G19" s="1" t="s">
        <v>36</v>
      </c>
      <c r="H19" s="6" t="s">
        <v>8</v>
      </c>
      <c r="J19" t="str">
        <f t="shared" si="0"/>
        <v>456 Oak St New York, NY, 10001</v>
      </c>
    </row>
    <row r="20" spans="1:10" x14ac:dyDescent="0.2">
      <c r="A20" s="5" t="s">
        <v>89</v>
      </c>
      <c r="B20" s="1" t="s">
        <v>40</v>
      </c>
      <c r="C20" s="1" t="s">
        <v>9</v>
      </c>
      <c r="D20" s="11">
        <v>45496.291701388887</v>
      </c>
      <c r="E20" s="1" t="s">
        <v>41</v>
      </c>
      <c r="F20" s="1" t="s">
        <v>29</v>
      </c>
      <c r="G20" s="1" t="s">
        <v>30</v>
      </c>
      <c r="H20" s="6" t="s">
        <v>10</v>
      </c>
      <c r="J20" t="str">
        <f t="shared" si="0"/>
        <v>459 Oak St Philadelphia, PA, 19101</v>
      </c>
    </row>
    <row r="21" spans="1:10" ht="16" thickBot="1" x14ac:dyDescent="0.2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baseColWidth="10" defaultColWidth="8.83203125" defaultRowHeight="15" x14ac:dyDescent="0.2"/>
  <cols>
    <col min="1" max="1" width="14.33203125" bestFit="1" customWidth="1"/>
    <col min="2" max="2" width="23.33203125" bestFit="1" customWidth="1"/>
    <col min="3" max="3" width="29" style="9" customWidth="1"/>
    <col min="4" max="4" width="16" customWidth="1"/>
    <col min="5" max="5" width="11.83203125" customWidth="1"/>
    <col min="6" max="6" width="22" customWidth="1"/>
    <col min="7" max="8" width="40" customWidth="1"/>
    <col min="9" max="9" width="10.6640625" bestFit="1" customWidth="1"/>
    <col min="10" max="10" width="10.1640625" bestFit="1" customWidth="1"/>
    <col min="12" max="12" width="27.33203125" bestFit="1" customWidth="1"/>
    <col min="13" max="13" width="17.6640625" bestFit="1" customWidth="1"/>
    <col min="14" max="14" width="18.6640625" bestFit="1" customWidth="1"/>
  </cols>
  <sheetData>
    <row r="1" spans="1:14" x14ac:dyDescent="0.2">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6" thickBot="1" x14ac:dyDescent="0.2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B1" zoomScaleNormal="100" workbookViewId="0">
      <selection activeCell="H1" sqref="H1"/>
    </sheetView>
  </sheetViews>
  <sheetFormatPr baseColWidth="10" defaultColWidth="8.83203125" defaultRowHeight="15" x14ac:dyDescent="0.2"/>
  <cols>
    <col min="1" max="1" width="14.33203125" bestFit="1" customWidth="1"/>
    <col min="2" max="2" width="23.33203125" bestFit="1" customWidth="1"/>
    <col min="3" max="3" width="14" style="9" customWidth="1"/>
    <col min="4" max="4" width="16.1640625" customWidth="1"/>
    <col min="5" max="5" width="26.1640625" customWidth="1"/>
    <col min="6" max="6" width="22" bestFit="1" customWidth="1"/>
    <col min="7" max="7" width="37" customWidth="1"/>
    <col min="8" max="8" width="40" customWidth="1"/>
    <col min="9" max="9" width="11.6640625" hidden="1" customWidth="1"/>
    <col min="10" max="10" width="9.1640625" customWidth="1"/>
  </cols>
  <sheetData>
    <row r="1" spans="1:12" x14ac:dyDescent="0.2">
      <c r="A1" s="2" t="s">
        <v>69</v>
      </c>
      <c r="B1" s="3" t="s">
        <v>2</v>
      </c>
      <c r="C1" s="3" t="s">
        <v>3</v>
      </c>
      <c r="D1" s="10" t="s">
        <v>92</v>
      </c>
      <c r="E1" s="3" t="s">
        <v>0</v>
      </c>
      <c r="F1" s="3" t="s">
        <v>21</v>
      </c>
      <c r="G1" s="3" t="s">
        <v>22</v>
      </c>
      <c r="H1" s="4" t="s">
        <v>4</v>
      </c>
      <c r="J1" s="17" t="s">
        <v>64</v>
      </c>
      <c r="K1" s="17"/>
      <c r="L1" s="17"/>
    </row>
    <row r="2" spans="1:12" x14ac:dyDescent="0.2">
      <c r="A2" s="5" t="s">
        <v>72</v>
      </c>
      <c r="B2" s="1" t="s">
        <v>42</v>
      </c>
      <c r="C2" s="1" t="s">
        <v>1</v>
      </c>
      <c r="D2" s="11">
        <v>44971.640451388892</v>
      </c>
      <c r="E2" s="1" t="s">
        <v>43</v>
      </c>
      <c r="F2" s="1" t="s">
        <v>23</v>
      </c>
      <c r="G2" s="1" t="s">
        <v>24</v>
      </c>
      <c r="H2" s="6" t="s">
        <v>11</v>
      </c>
      <c r="J2">
        <f>FIND(",",G2)+LEN(", ")</f>
        <v>11</v>
      </c>
      <c r="K2">
        <f>FIND(",",G2,J2)</f>
        <v>13</v>
      </c>
      <c r="L2" t="str">
        <f>MID(G2,J2,K2-J2)</f>
        <v>CA</v>
      </c>
    </row>
    <row r="3" spans="1:12" x14ac:dyDescent="0.2">
      <c r="A3" s="5" t="s">
        <v>71</v>
      </c>
      <c r="B3" s="1" t="s">
        <v>38</v>
      </c>
      <c r="C3" s="1" t="s">
        <v>5</v>
      </c>
      <c r="D3" s="11">
        <v>45055.40662037037</v>
      </c>
      <c r="E3" s="1" t="s">
        <v>39</v>
      </c>
      <c r="F3" s="1" t="s">
        <v>25</v>
      </c>
      <c r="G3" s="1" t="s">
        <v>26</v>
      </c>
      <c r="H3" s="6" t="s">
        <v>14</v>
      </c>
      <c r="J3">
        <f t="shared" ref="J3:J21" si="0">FIND(",",G3)+LEN(", ")</f>
        <v>10</v>
      </c>
      <c r="K3">
        <f t="shared" ref="K3:K21" si="1">FIND(",",G3,J3)</f>
        <v>12</v>
      </c>
      <c r="L3" t="str">
        <f t="shared" ref="L3:L21" si="2">MID(G3,J3,K3-J3)</f>
        <v>IL</v>
      </c>
    </row>
    <row r="4" spans="1:12" x14ac:dyDescent="0.2">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6" thickBot="1" x14ac:dyDescent="0.2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L27" sqref="L27"/>
    </sheetView>
  </sheetViews>
  <sheetFormatPr baseColWidth="10" defaultColWidth="8.83203125" defaultRowHeight="15" x14ac:dyDescent="0.2"/>
  <cols>
    <col min="1" max="1" width="24.33203125" customWidth="1"/>
  </cols>
  <sheetData>
    <row r="2" spans="1:75" x14ac:dyDescent="0.2">
      <c r="A2" s="15" t="s">
        <v>94</v>
      </c>
      <c r="B2" s="16"/>
    </row>
    <row r="3" spans="1:75" x14ac:dyDescent="0.2">
      <c r="A3" t="str">
        <f>_xlfn.TEXTJOIN(", ",TRUE,Text_Search!H2:H21)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
      <c r="A5" s="15" t="s">
        <v>67</v>
      </c>
      <c r="B5" s="16"/>
    </row>
    <row r="6" spans="1:75" x14ac:dyDescent="0.2">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
      <c r="A8" s="15" t="s">
        <v>68</v>
      </c>
      <c r="B8" s="15" t="s">
        <v>93</v>
      </c>
      <c r="C8" s="16"/>
      <c r="D8" s="16"/>
      <c r="E8" s="16"/>
      <c r="F8" s="16"/>
    </row>
    <row r="9" spans="1:75" x14ac:dyDescent="0.2">
      <c r="A9" s="1" t="str" cm="1">
        <f t="array" ref="A9:A25">_xlfn.UNIQUE(TRANSPOSE(6:6))</f>
        <v>Kafka</v>
      </c>
      <c r="B9" s="1" cm="1">
        <f t="array" ref="B9">_xlfn._xlws.SORT(COUNTIF($6:$6,$A9))</f>
        <v>3</v>
      </c>
      <c r="L9" t="str" cm="1">
        <f t="array" ref="L9:M24">_xlfn._xlws.SORT(A9:B24,2)</f>
        <v>Tableau</v>
      </c>
      <c r="M9">
        <v>1</v>
      </c>
    </row>
    <row r="10" spans="1:75" x14ac:dyDescent="0.2">
      <c r="A10" s="1" t="str">
        <v>DataBricks</v>
      </c>
      <c r="B10" s="1" cm="1">
        <f t="array" ref="B10">_xlfn._xlws.SORT(COUNTIF($6:$6,$A10))</f>
        <v>12</v>
      </c>
      <c r="L10" t="str">
        <v>Spark</v>
      </c>
      <c r="M10">
        <v>2</v>
      </c>
    </row>
    <row r="11" spans="1:75" x14ac:dyDescent="0.2">
      <c r="A11" s="1" t="str">
        <v>Spark</v>
      </c>
      <c r="B11" s="1" cm="1">
        <f t="array" ref="B11">_xlfn._xlws.SORT(COUNTIF($6:$6,$A11))</f>
        <v>2</v>
      </c>
      <c r="L11" t="str">
        <v>Python</v>
      </c>
      <c r="M11">
        <v>2</v>
      </c>
    </row>
    <row r="12" spans="1:75" x14ac:dyDescent="0.2">
      <c r="A12" s="1" t="str">
        <v>Python</v>
      </c>
      <c r="B12" s="1" cm="1">
        <f t="array" ref="B12">_xlfn._xlws.SORT(COUNTIF($6:$6,$A12))</f>
        <v>2</v>
      </c>
      <c r="L12" t="str">
        <v>Excel</v>
      </c>
      <c r="M12">
        <v>2</v>
      </c>
    </row>
    <row r="13" spans="1:75" x14ac:dyDescent="0.2">
      <c r="A13" s="1" t="str">
        <v>GCP</v>
      </c>
      <c r="B13" s="1" cm="1">
        <f t="array" ref="B13">_xlfn._xlws.SORT(COUNTIF($6:$6,$A13))</f>
        <v>4</v>
      </c>
      <c r="L13" t="str">
        <v>Kafka</v>
      </c>
      <c r="M13">
        <v>3</v>
      </c>
    </row>
    <row r="14" spans="1:75" x14ac:dyDescent="0.2">
      <c r="A14" s="1" t="str">
        <v>Power BI</v>
      </c>
      <c r="B14" s="1" cm="1">
        <f t="array" ref="B14">_xlfn._xlws.SORT(COUNTIF($6:$6,$A14))</f>
        <v>5</v>
      </c>
      <c r="L14" t="str">
        <v>GCP</v>
      </c>
      <c r="M14">
        <v>4</v>
      </c>
    </row>
    <row r="15" spans="1:75" x14ac:dyDescent="0.2">
      <c r="A15" s="1" t="str">
        <v>Airflow</v>
      </c>
      <c r="B15" s="1" cm="1">
        <f t="array" ref="B15">_xlfn._xlws.SORT(COUNTIF($6:$6,$A15))</f>
        <v>6</v>
      </c>
      <c r="L15" t="str">
        <v>Azure</v>
      </c>
      <c r="M15">
        <v>4</v>
      </c>
    </row>
    <row r="16" spans="1:75" x14ac:dyDescent="0.2">
      <c r="A16" s="1" t="str">
        <v>Hadoop</v>
      </c>
      <c r="B16" s="1" cm="1">
        <f t="array" ref="B16">_xlfn._xlws.SORT(COUNTIF($6:$6,$A16))</f>
        <v>7</v>
      </c>
      <c r="L16" t="str">
        <v>SQL</v>
      </c>
      <c r="M16">
        <v>4</v>
      </c>
    </row>
    <row r="17" spans="1:13" x14ac:dyDescent="0.2">
      <c r="A17" s="1" t="str">
        <v>R</v>
      </c>
      <c r="B17" s="1" cm="1">
        <f t="array" ref="B17">_xlfn._xlws.SORT(COUNTIF($6:$6,$A17))</f>
        <v>6</v>
      </c>
      <c r="L17" t="str">
        <v>Power BI</v>
      </c>
      <c r="M17">
        <v>5</v>
      </c>
    </row>
    <row r="18" spans="1:13" x14ac:dyDescent="0.2">
      <c r="A18" s="1" t="str">
        <v>Azure</v>
      </c>
      <c r="B18" s="1" cm="1">
        <f t="array" ref="B18">_xlfn._xlws.SORT(COUNTIF($6:$6,$A18))</f>
        <v>4</v>
      </c>
      <c r="L18" t="str">
        <v>Snowflake</v>
      </c>
      <c r="M18">
        <v>5</v>
      </c>
    </row>
    <row r="19" spans="1:13" x14ac:dyDescent="0.2">
      <c r="A19" s="1" t="str">
        <v>Java</v>
      </c>
      <c r="B19" s="1" cm="1">
        <f t="array" ref="B19">_xlfn._xlws.SORT(COUNTIF($6:$6,$A19))</f>
        <v>7</v>
      </c>
      <c r="L19" t="str">
        <v>Scala</v>
      </c>
      <c r="M19">
        <v>5</v>
      </c>
    </row>
    <row r="20" spans="1:13" x14ac:dyDescent="0.2">
      <c r="A20" s="1" t="str">
        <v>SQL</v>
      </c>
      <c r="B20" s="1" cm="1">
        <f t="array" ref="B20">_xlfn._xlws.SORT(COUNTIF($6:$6,$A20))</f>
        <v>4</v>
      </c>
      <c r="L20" t="str">
        <v>Airflow</v>
      </c>
      <c r="M20">
        <v>6</v>
      </c>
    </row>
    <row r="21" spans="1:13" x14ac:dyDescent="0.2">
      <c r="A21" s="1" t="str">
        <v>Snowflake</v>
      </c>
      <c r="B21" s="1" cm="1">
        <f t="array" ref="B21">_xlfn._xlws.SORT(COUNTIF($6:$6,$A21))</f>
        <v>5</v>
      </c>
      <c r="L21" t="str">
        <v>R</v>
      </c>
      <c r="M21">
        <v>6</v>
      </c>
    </row>
    <row r="22" spans="1:13" x14ac:dyDescent="0.2">
      <c r="A22" s="1" t="str">
        <v>Scala</v>
      </c>
      <c r="B22" s="1" cm="1">
        <f t="array" ref="B22">_xlfn._xlws.SORT(COUNTIF($6:$6,$A22))</f>
        <v>5</v>
      </c>
      <c r="L22" t="str">
        <v>Hadoop</v>
      </c>
      <c r="M22">
        <v>7</v>
      </c>
    </row>
    <row r="23" spans="1:13" x14ac:dyDescent="0.2">
      <c r="A23" s="1" t="str">
        <v>Excel</v>
      </c>
      <c r="B23" s="1" cm="1">
        <f t="array" ref="B23">_xlfn._xlws.SORT(COUNTIF($6:$6,$A23))</f>
        <v>2</v>
      </c>
      <c r="L23" t="str">
        <v>Java</v>
      </c>
      <c r="M23">
        <v>7</v>
      </c>
    </row>
    <row r="24" spans="1:13" x14ac:dyDescent="0.2">
      <c r="A24" s="1" t="str">
        <v>Tableau</v>
      </c>
      <c r="B24" s="1" cm="1">
        <f t="array" ref="B24">_xlfn._xlws.SORT(COUNTIF($6:$6,$A24))</f>
        <v>1</v>
      </c>
      <c r="L24" t="str">
        <v>DataBricks</v>
      </c>
      <c r="M24">
        <v>12</v>
      </c>
    </row>
    <row r="25" spans="1:13" x14ac:dyDescent="0.2">
      <c r="A25" s="1">
        <v>0</v>
      </c>
      <c r="B25" s="1">
        <f t="shared" ref="B25" si="0">COUNTIF($6:$6,$A25)</f>
        <v>0</v>
      </c>
    </row>
  </sheetData>
  <sortState xmlns:xlrd2="http://schemas.microsoft.com/office/spreadsheetml/2017/richdata2" ref="B9:B24">
    <sortCondition ref="B9:B24"/>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Thomas Thomas</cp:lastModifiedBy>
  <dcterms:created xsi:type="dcterms:W3CDTF">2015-06-05T18:17:20Z</dcterms:created>
  <dcterms:modified xsi:type="dcterms:W3CDTF">2026-04-04T11:31:40Z</dcterms:modified>
</cp:coreProperties>
</file>